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3_ncr:1_{A950B29C-07BA-4825-ACFE-AF35F8F834C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TS Test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1" l="1"/>
  <c r="C26" i="1"/>
  <c r="C25" i="1"/>
  <c r="C24" i="1"/>
  <c r="C23" i="1"/>
  <c r="C22" i="1"/>
  <c r="C21" i="1"/>
</calcChain>
</file>

<file path=xl/sharedStrings.xml><?xml version="1.0" encoding="utf-8"?>
<sst xmlns="http://schemas.openxmlformats.org/spreadsheetml/2006/main" count="66" uniqueCount="66">
  <si>
    <t>ATS Scoring — Manual Test Results</t>
  </si>
  <si>
    <t>Module under test</t>
  </si>
  <si>
    <t>cv_review — ATS score &amp; major-mistake findings</t>
  </si>
  <si>
    <t>Test cases</t>
  </si>
  <si>
    <t>10 resumes</t>
  </si>
  <si>
    <t>Method</t>
  </si>
  <si>
    <t>Manual: upload resume → run CV review → record score &amp; findings</t>
  </si>
  <si>
    <t>Score range seen</t>
  </si>
  <si>
    <t>52 – 80 / 100</t>
  </si>
  <si>
    <t>Test ID</t>
  </si>
  <si>
    <t>Resume file</t>
  </si>
  <si>
    <t>Resume domain</t>
  </si>
  <si>
    <t>ATS score</t>
  </si>
  <si>
    <t>Findings shown</t>
  </si>
  <si>
    <t>Finding categories</t>
  </si>
  <si>
    <t>Summary issues cited</t>
  </si>
  <si>
    <t>Observation</t>
  </si>
  <si>
    <t>agricultural__dceaa326c82da46e.pdf</t>
  </si>
  <si>
    <t>Agricultural / environmental engineering</t>
  </si>
  <si>
    <t>structure, experience ×2</t>
  </si>
  <si>
    <t>Correctly caught missing company names and job-description text copied verbatim from a posting (“would be beneficial”, “Familiarity with…”). Fixes were specific and rewrote the bullet, not just flagged it.</t>
  </si>
  <si>
    <t>react_developer__152.pdf</t>
  </si>
  <si>
    <t>React / full-stack developer</t>
  </si>
  <si>
    <t>experience ×3</t>
  </si>
  <si>
    <t>Strongest catch of the set: identified that three “Project Description” blocks describe the CLIENT company (Udemy, Deutsche Bank, Dot&amp;Bo) rather than the candidate’s own work. Score of 80 despite 3 critical findings — see Observation 3 below.</t>
  </si>
  <si>
    <t>Ankit Gehlot Resume  vFinal.pdf</t>
  </si>
  <si>
    <t>Accounting / CA articleship</t>
  </si>
  <si>
    <t>skills, structure</t>
  </si>
  <si>
    <t>Caught a missing job title above the firm name, and generic personal traits in the skills section. Domain-aware fix (suggested Tally ERP 9 / SAP rather than generic advice).</t>
  </si>
  <si>
    <t>1efddb9c250357f7.pdf</t>
  </si>
  <si>
    <t>Retail sales associate</t>
  </si>
  <si>
    <t>wording ×2, structure</t>
  </si>
  <si>
    <t>Caught a resume-template artifact (“www.qwikresume.com”) left in the contact block, plus run-on sentence fragments. Useful non-technical-domain result.</t>
  </si>
  <si>
    <t>6fb0009f4395a2f3.pdf</t>
  </si>
  <si>
    <t>IT / support</t>
  </si>
  <si>
    <t>— (Nothing major found)</t>
  </si>
  <si>
    <t>INCONSISTENCY: summary paragraph cites 3 issues (unrelated F&amp;B experience, no professional summary, passive bullet) but the findings list renders “Nothing major found”. Summary and findings list disagree — see Observation 2.</t>
  </si>
  <si>
    <t>Image_10.pdf</t>
  </si>
  <si>
    <t>IT / operations</t>
  </si>
  <si>
    <t>education</t>
  </si>
  <si>
    <t>Only one critical finding (missing education section) despite the summary citing duties-not-results and weak phrasing. Low finding count relative to issues described.</t>
  </si>
  <si>
    <t>Image_95.pdf</t>
  </si>
  <si>
    <t>IT management</t>
  </si>
  <si>
    <t>experience, skills, education</t>
  </si>
  <si>
    <t>Good recency catch: flagged obsolete certifications (“WIN 2000 MCSE - 2002”, “NT 4.0 MSCS--1999”) as dating the candidate. Also caught the missing education section.</t>
  </si>
  <si>
    <t>4aed1ef936afe86a.pdf</t>
  </si>
  <si>
    <t>Software developer (intern)</t>
  </si>
  <si>
    <t>experience, quantification</t>
  </si>
  <si>
    <t>Correctly separated engineering work from administrative/support duties mixed into the same bullet. “quantification” category appeared only in this case.</t>
  </si>
  <si>
    <t>Image_18.pdf</t>
  </si>
  <si>
    <t>Business / marketing</t>
  </si>
  <si>
    <t>experience, contact</t>
  </si>
  <si>
    <t>Caught an experience entry with no description at all (Lund University Marketing Society) and a missing LinkedIn/portfolio link.</t>
  </si>
  <si>
    <t>8c5e81998e69787d.pdf</t>
  </si>
  <si>
    <t>SQL / database developer</t>
  </si>
  <si>
    <t>experience, education</t>
  </si>
  <si>
    <t>Notable judgement call: flagged a training program (SetFocus SQL Master’s Program) listed as primary work experience and recommended moving it to a Projects section.</t>
  </si>
  <si>
    <t>AGGREGATE RESULTS</t>
  </si>
  <si>
    <t>Resumes tested</t>
  </si>
  <si>
    <t>Mean ATS score</t>
  </si>
  <si>
    <t>Median ATS score</t>
  </si>
  <si>
    <t>Lowest score</t>
  </si>
  <si>
    <t>Highest score</t>
  </si>
  <si>
    <t>Cases with 0 findings</t>
  </si>
  <si>
    <t>Cases scoring below 60</t>
  </si>
  <si>
    <t>DiscoverMyRole · CV Review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</si>
</sst>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6"/>
      <color rgb="FF1F3B45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rgb="FF5D7480"/>
      <name val="Cambria"/>
      <family val="1"/>
      <scheme val="major"/>
    </font>
    <font>
      <b/>
      <sz val="9"/>
      <color rgb="FF000000"/>
      <name val="Cambria"/>
      <family val="1"/>
      <scheme val="major"/>
    </font>
    <font>
      <sz val="9"/>
      <color rgb="FF000000"/>
      <name val="Cambria"/>
      <family val="1"/>
      <scheme val="major"/>
    </font>
    <font>
      <b/>
      <sz val="10"/>
      <color rgb="FFFFFFFF"/>
      <name val="Cambria"/>
      <family val="1"/>
      <scheme val="major"/>
    </font>
    <font>
      <b/>
      <sz val="11"/>
      <color rgb="FF1F3B45"/>
      <name val="Cambria"/>
      <family val="1"/>
      <scheme val="major"/>
    </font>
    <font>
      <sz val="8"/>
      <color rgb="FF5D748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3B45"/>
        <bgColor rgb="FF003366"/>
      </patternFill>
    </fill>
    <fill>
      <patternFill patternType="solid">
        <fgColor rgb="FFF2F4F5"/>
        <bgColor rgb="FFFFFFFF"/>
      </patternFill>
    </fill>
    <fill>
      <patternFill patternType="solid">
        <fgColor rgb="FFDCE9EC"/>
        <bgColor rgb="FFF2F4F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C9CC"/>
      </left>
      <right style="thin">
        <color rgb="FFBFC9CC"/>
      </right>
      <top style="thin">
        <color rgb="FFBFC9CC"/>
      </top>
      <bottom style="thin">
        <color rgb="FFBFC9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0" fontId="8" fillId="0" borderId="0" xfId="0" applyFont="1" applyAlignment="1">
      <alignment horizontal="left" vertical="top"/>
    </xf>
    <xf numFmtId="1" fontId="4" fillId="5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C"/>
      <rgbColor rgb="FF808080"/>
      <rgbColor rgb="FF9999FF"/>
      <rgbColor rgb="FF993366"/>
      <rgbColor rgb="FFF2F4F5"/>
      <rgbColor rgb="FFDC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74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zoomScaleNormal="100" workbookViewId="0">
      <pane ySplit="8" topLeftCell="A18" activePane="bottomLeft" state="frozen"/>
      <selection pane="bottomLeft" activeCell="D18" sqref="D18"/>
    </sheetView>
  </sheetViews>
  <sheetFormatPr defaultColWidth="8.6328125" defaultRowHeight="14" x14ac:dyDescent="0.3"/>
  <cols>
    <col min="1" max="1" width="14.90625" style="2" bestFit="1" customWidth="1"/>
    <col min="2" max="2" width="30" style="2" customWidth="1"/>
    <col min="3" max="3" width="24" style="2" customWidth="1"/>
    <col min="4" max="4" width="13.6328125" style="2" bestFit="1" customWidth="1"/>
    <col min="5" max="5" width="13" style="2" customWidth="1"/>
    <col min="6" max="6" width="26" style="2" customWidth="1"/>
    <col min="7" max="7" width="11" style="2" customWidth="1"/>
    <col min="8" max="8" width="62" style="2" customWidth="1"/>
    <col min="9" max="16384" width="8.6328125" style="2"/>
  </cols>
  <sheetData>
    <row r="1" spans="1:8" ht="20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3" t="s">
        <v>65</v>
      </c>
      <c r="B2" s="3"/>
      <c r="C2" s="3"/>
      <c r="D2" s="3"/>
      <c r="E2" s="3"/>
      <c r="F2" s="3"/>
      <c r="G2" s="3"/>
      <c r="H2" s="3"/>
    </row>
    <row r="4" spans="1:8" x14ac:dyDescent="0.3">
      <c r="A4" s="4" t="s">
        <v>1</v>
      </c>
      <c r="B4" s="5" t="s">
        <v>2</v>
      </c>
      <c r="D4" s="4" t="s">
        <v>3</v>
      </c>
      <c r="E4" s="5" t="s">
        <v>4</v>
      </c>
    </row>
    <row r="5" spans="1:8" x14ac:dyDescent="0.3">
      <c r="A5" s="4" t="s">
        <v>5</v>
      </c>
      <c r="B5" s="5" t="s">
        <v>6</v>
      </c>
      <c r="D5" s="4" t="s">
        <v>7</v>
      </c>
      <c r="E5" s="5" t="s">
        <v>8</v>
      </c>
    </row>
    <row r="6" spans="1:8" x14ac:dyDescent="0.3">
      <c r="A6" s="4"/>
      <c r="B6" s="5"/>
      <c r="D6" s="4"/>
      <c r="E6" s="5"/>
    </row>
    <row r="8" spans="1:8" ht="30" customHeight="1" x14ac:dyDescent="0.3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</row>
    <row r="9" spans="1:8" ht="45.75" customHeight="1" x14ac:dyDescent="0.3">
      <c r="A9" s="7">
        <v>1</v>
      </c>
      <c r="B9" s="8" t="s">
        <v>17</v>
      </c>
      <c r="C9" s="8" t="s">
        <v>18</v>
      </c>
      <c r="D9" s="7">
        <v>52</v>
      </c>
      <c r="E9" s="7">
        <v>3</v>
      </c>
      <c r="F9" s="8" t="s">
        <v>19</v>
      </c>
      <c r="G9" s="7">
        <v>3</v>
      </c>
      <c r="H9" s="8" t="s">
        <v>20</v>
      </c>
    </row>
    <row r="10" spans="1:8" ht="45.75" customHeight="1" x14ac:dyDescent="0.3">
      <c r="A10" s="9">
        <v>2</v>
      </c>
      <c r="B10" s="10" t="s">
        <v>21</v>
      </c>
      <c r="C10" s="10" t="s">
        <v>22</v>
      </c>
      <c r="D10" s="9">
        <v>80</v>
      </c>
      <c r="E10" s="9">
        <v>3</v>
      </c>
      <c r="F10" s="10" t="s">
        <v>23</v>
      </c>
      <c r="G10" s="9">
        <v>2</v>
      </c>
      <c r="H10" s="10" t="s">
        <v>24</v>
      </c>
    </row>
    <row r="11" spans="1:8" ht="45.75" customHeight="1" x14ac:dyDescent="0.3">
      <c r="A11" s="7">
        <v>3</v>
      </c>
      <c r="B11" s="8" t="s">
        <v>25</v>
      </c>
      <c r="C11" s="8" t="s">
        <v>26</v>
      </c>
      <c r="D11" s="7">
        <v>52</v>
      </c>
      <c r="E11" s="7">
        <v>2</v>
      </c>
      <c r="F11" s="8" t="s">
        <v>27</v>
      </c>
      <c r="G11" s="7">
        <v>3</v>
      </c>
      <c r="H11" s="8" t="s">
        <v>28</v>
      </c>
    </row>
    <row r="12" spans="1:8" ht="45.75" customHeight="1" x14ac:dyDescent="0.3">
      <c r="A12" s="9">
        <v>4</v>
      </c>
      <c r="B12" s="10" t="s">
        <v>29</v>
      </c>
      <c r="C12" s="10" t="s">
        <v>30</v>
      </c>
      <c r="D12" s="9">
        <v>52</v>
      </c>
      <c r="E12" s="9">
        <v>3</v>
      </c>
      <c r="F12" s="10" t="s">
        <v>31</v>
      </c>
      <c r="G12" s="9">
        <v>2</v>
      </c>
      <c r="H12" s="10" t="s">
        <v>32</v>
      </c>
    </row>
    <row r="13" spans="1:8" ht="45.75" customHeight="1" x14ac:dyDescent="0.3">
      <c r="A13" s="7">
        <v>6</v>
      </c>
      <c r="B13" s="8" t="s">
        <v>33</v>
      </c>
      <c r="C13" s="8" t="s">
        <v>34</v>
      </c>
      <c r="D13" s="7">
        <v>80</v>
      </c>
      <c r="E13" s="7">
        <v>0</v>
      </c>
      <c r="F13" s="8" t="s">
        <v>35</v>
      </c>
      <c r="G13" s="7">
        <v>3</v>
      </c>
      <c r="H13" s="8" t="s">
        <v>36</v>
      </c>
    </row>
    <row r="14" spans="1:8" ht="45.75" customHeight="1" x14ac:dyDescent="0.3">
      <c r="A14" s="9">
        <v>7</v>
      </c>
      <c r="B14" s="10" t="s">
        <v>37</v>
      </c>
      <c r="C14" s="10" t="s">
        <v>38</v>
      </c>
      <c r="D14" s="9">
        <v>70</v>
      </c>
      <c r="E14" s="9">
        <v>1</v>
      </c>
      <c r="F14" s="10" t="s">
        <v>39</v>
      </c>
      <c r="G14" s="9">
        <v>3</v>
      </c>
      <c r="H14" s="10" t="s">
        <v>40</v>
      </c>
    </row>
    <row r="15" spans="1:8" ht="45.75" customHeight="1" x14ac:dyDescent="0.3">
      <c r="A15" s="7">
        <v>11</v>
      </c>
      <c r="B15" s="8" t="s">
        <v>41</v>
      </c>
      <c r="C15" s="8" t="s">
        <v>42</v>
      </c>
      <c r="D15" s="7">
        <v>80</v>
      </c>
      <c r="E15" s="7">
        <v>3</v>
      </c>
      <c r="F15" s="8" t="s">
        <v>43</v>
      </c>
      <c r="G15" s="7">
        <v>2</v>
      </c>
      <c r="H15" s="8" t="s">
        <v>44</v>
      </c>
    </row>
    <row r="16" spans="1:8" ht="45.75" customHeight="1" x14ac:dyDescent="0.3">
      <c r="A16" s="9">
        <v>12</v>
      </c>
      <c r="B16" s="10" t="s">
        <v>45</v>
      </c>
      <c r="C16" s="10" t="s">
        <v>46</v>
      </c>
      <c r="D16" s="9">
        <v>60</v>
      </c>
      <c r="E16" s="9">
        <v>2</v>
      </c>
      <c r="F16" s="10" t="s">
        <v>47</v>
      </c>
      <c r="G16" s="9">
        <v>3</v>
      </c>
      <c r="H16" s="10" t="s">
        <v>48</v>
      </c>
    </row>
    <row r="17" spans="1:8" ht="45.75" customHeight="1" x14ac:dyDescent="0.3">
      <c r="A17" s="7">
        <v>13</v>
      </c>
      <c r="B17" s="8" t="s">
        <v>49</v>
      </c>
      <c r="C17" s="8" t="s">
        <v>50</v>
      </c>
      <c r="D17" s="7">
        <v>52</v>
      </c>
      <c r="E17" s="7">
        <v>2</v>
      </c>
      <c r="F17" s="8" t="s">
        <v>51</v>
      </c>
      <c r="G17" s="7">
        <v>3</v>
      </c>
      <c r="H17" s="8" t="s">
        <v>52</v>
      </c>
    </row>
    <row r="18" spans="1:8" ht="45.75" customHeight="1" x14ac:dyDescent="0.3">
      <c r="A18" s="9">
        <v>14</v>
      </c>
      <c r="B18" s="10" t="s">
        <v>53</v>
      </c>
      <c r="C18" s="10" t="s">
        <v>54</v>
      </c>
      <c r="D18" s="9">
        <v>70</v>
      </c>
      <c r="E18" s="9">
        <v>2</v>
      </c>
      <c r="F18" s="10" t="s">
        <v>55</v>
      </c>
      <c r="G18" s="9">
        <v>2</v>
      </c>
      <c r="H18" s="10" t="s">
        <v>56</v>
      </c>
    </row>
    <row r="20" spans="1:8" x14ac:dyDescent="0.3">
      <c r="A20" s="11" t="s">
        <v>57</v>
      </c>
      <c r="B20" s="11"/>
      <c r="C20" s="11"/>
      <c r="D20" s="11"/>
      <c r="E20" s="11"/>
      <c r="F20" s="11"/>
      <c r="G20" s="11"/>
      <c r="H20" s="11"/>
    </row>
    <row r="21" spans="1:8" x14ac:dyDescent="0.3">
      <c r="A21" s="12" t="s">
        <v>58</v>
      </c>
      <c r="B21" s="12"/>
      <c r="C21" s="13">
        <f>COUNT(D9:D18)</f>
        <v>10</v>
      </c>
    </row>
    <row r="22" spans="1:8" x14ac:dyDescent="0.3">
      <c r="A22" s="12" t="s">
        <v>59</v>
      </c>
      <c r="B22" s="12"/>
      <c r="C22" s="14">
        <f>ROUND(AVERAGE(D9:D18),1)</f>
        <v>64.8</v>
      </c>
    </row>
    <row r="23" spans="1:8" x14ac:dyDescent="0.3">
      <c r="A23" s="12" t="s">
        <v>60</v>
      </c>
      <c r="B23" s="12"/>
      <c r="C23" s="14">
        <f>MEDIAN(D9:D18)</f>
        <v>65</v>
      </c>
    </row>
    <row r="24" spans="1:8" x14ac:dyDescent="0.3">
      <c r="A24" s="12" t="s">
        <v>61</v>
      </c>
      <c r="B24" s="12"/>
      <c r="C24" s="13">
        <f>MIN(D9:D18)</f>
        <v>52</v>
      </c>
    </row>
    <row r="25" spans="1:8" x14ac:dyDescent="0.3">
      <c r="A25" s="12" t="s">
        <v>62</v>
      </c>
      <c r="B25" s="12"/>
      <c r="C25" s="16">
        <f>MAX(D9:D18)</f>
        <v>80</v>
      </c>
    </row>
    <row r="26" spans="1:8" x14ac:dyDescent="0.3">
      <c r="A26" s="12" t="s">
        <v>63</v>
      </c>
      <c r="B26" s="12"/>
      <c r="C26" s="13">
        <f>COUNTIF(E9:E18,0)</f>
        <v>1</v>
      </c>
    </row>
    <row r="27" spans="1:8" x14ac:dyDescent="0.3">
      <c r="A27" s="12" t="s">
        <v>64</v>
      </c>
      <c r="B27" s="12"/>
      <c r="C27" s="13">
        <f>COUNTIF(D9:D18,"&lt;60")</f>
        <v>4</v>
      </c>
    </row>
    <row r="28" spans="1:8" x14ac:dyDescent="0.3">
      <c r="A28" s="15"/>
    </row>
  </sheetData>
  <mergeCells count="10">
    <mergeCell ref="A26:B26"/>
    <mergeCell ref="A27:B27"/>
    <mergeCell ref="A23:B23"/>
    <mergeCell ref="A24:B24"/>
    <mergeCell ref="A25:B25"/>
    <mergeCell ref="A1:H1"/>
    <mergeCell ref="A2:H2"/>
    <mergeCell ref="A20:H20"/>
    <mergeCell ref="A21:B21"/>
    <mergeCell ref="A22:B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Gaurav Kumar</cp:lastModifiedBy>
  <cp:revision>0</cp:revision>
  <dcterms:created xsi:type="dcterms:W3CDTF">2026-08-23T18:51:06Z</dcterms:created>
  <dcterms:modified xsi:type="dcterms:W3CDTF">2026-08-23T18:59:55Z</dcterms:modified>
  <dc:language>en-US</dc:language>
</cp:coreProperties>
</file>